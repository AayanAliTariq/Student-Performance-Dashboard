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ZABIST\SEM-1\ITC (lab)\"/>
    </mc:Choice>
  </mc:AlternateContent>
  <bookViews>
    <workbookView xWindow="0" yWindow="0" windowWidth="20490" windowHeight="7650"/>
  </bookViews>
  <sheets>
    <sheet name="Student Data" sheetId="1" r:id="rId1"/>
    <sheet name="Attendance Table" sheetId="2" r:id="rId2"/>
  </sheets>
  <calcPr calcId="162913"/>
</workbook>
</file>

<file path=xl/calcChain.xml><?xml version="1.0" encoding="utf-8"?>
<calcChain xmlns="http://schemas.openxmlformats.org/spreadsheetml/2006/main">
  <c r="H10" i="1" l="1"/>
  <c r="E11" i="2"/>
  <c r="C11" i="2"/>
  <c r="F11" i="2" s="1"/>
  <c r="B11" i="2"/>
  <c r="A11" i="2"/>
  <c r="E10" i="2"/>
  <c r="B10" i="2"/>
  <c r="A10" i="2"/>
  <c r="E9" i="2"/>
  <c r="C9" i="2"/>
  <c r="F9" i="2" s="1"/>
  <c r="B9" i="2"/>
  <c r="A9" i="2"/>
  <c r="E8" i="2"/>
  <c r="B8" i="2"/>
  <c r="A8" i="2"/>
  <c r="E7" i="2"/>
  <c r="B7" i="2"/>
  <c r="A7" i="2"/>
  <c r="E6" i="2"/>
  <c r="B6" i="2"/>
  <c r="A6" i="2"/>
  <c r="E5" i="2"/>
  <c r="C5" i="2"/>
  <c r="F5" i="2" s="1"/>
  <c r="B5" i="2"/>
  <c r="A5" i="2"/>
  <c r="E4" i="2"/>
  <c r="B4" i="2"/>
  <c r="A4" i="2"/>
  <c r="H12" i="1"/>
  <c r="M9" i="1"/>
  <c r="O9" i="1" s="1"/>
  <c r="L9" i="1"/>
  <c r="K9" i="1"/>
  <c r="H9" i="1"/>
  <c r="I9" i="1" s="1"/>
  <c r="M8" i="1"/>
  <c r="O8" i="1" s="1"/>
  <c r="L8" i="1"/>
  <c r="K8" i="1"/>
  <c r="C10" i="2" s="1"/>
  <c r="H8" i="1"/>
  <c r="I8" i="1" s="1"/>
  <c r="O7" i="1"/>
  <c r="N7" i="1"/>
  <c r="L7" i="1"/>
  <c r="K7" i="1"/>
  <c r="I7" i="1"/>
  <c r="H7" i="1"/>
  <c r="O6" i="1"/>
  <c r="N6" i="1"/>
  <c r="L6" i="1"/>
  <c r="K6" i="1"/>
  <c r="C8" i="2" s="1"/>
  <c r="H6" i="1"/>
  <c r="I6" i="1" s="1"/>
  <c r="M5" i="1"/>
  <c r="N5" i="1" s="1"/>
  <c r="L5" i="1"/>
  <c r="K5" i="1"/>
  <c r="C7" i="2" s="1"/>
  <c r="H5" i="1"/>
  <c r="I5" i="1" s="1"/>
  <c r="M4" i="1"/>
  <c r="O4" i="1" s="1"/>
  <c r="L4" i="1"/>
  <c r="K4" i="1"/>
  <c r="C6" i="2" s="1"/>
  <c r="I4" i="1"/>
  <c r="H4" i="1"/>
  <c r="M3" i="1"/>
  <c r="N3" i="1" s="1"/>
  <c r="L3" i="1"/>
  <c r="K3" i="1"/>
  <c r="H3" i="1"/>
  <c r="M2" i="1"/>
  <c r="O2" i="1" s="1"/>
  <c r="L2" i="1"/>
  <c r="K2" i="1"/>
  <c r="C4" i="2" s="1"/>
  <c r="H2" i="1"/>
  <c r="J14" i="1" s="1"/>
  <c r="J13" i="1" l="1"/>
  <c r="N4" i="1"/>
  <c r="O5" i="1"/>
  <c r="D10" i="2"/>
  <c r="F10" i="2"/>
  <c r="F7" i="2"/>
  <c r="D7" i="2"/>
  <c r="D4" i="2"/>
  <c r="F4" i="2"/>
  <c r="D8" i="2"/>
  <c r="F8" i="2"/>
  <c r="D6" i="2"/>
  <c r="F6" i="2"/>
  <c r="I3" i="1"/>
  <c r="N9" i="1"/>
  <c r="D5" i="2"/>
  <c r="D9" i="2"/>
  <c r="D11" i="2"/>
  <c r="I2" i="1"/>
  <c r="N2" i="1"/>
  <c r="O3" i="1"/>
  <c r="N8" i="1"/>
  <c r="J12" i="1"/>
</calcChain>
</file>

<file path=xl/sharedStrings.xml><?xml version="1.0" encoding="utf-8"?>
<sst xmlns="http://schemas.openxmlformats.org/spreadsheetml/2006/main" count="43" uniqueCount="36">
  <si>
    <t>Roll No</t>
  </si>
  <si>
    <t>Name</t>
  </si>
  <si>
    <t>English</t>
  </si>
  <si>
    <t>Physics</t>
  </si>
  <si>
    <t>Chemistry</t>
  </si>
  <si>
    <t>Biology</t>
  </si>
  <si>
    <t>Total</t>
  </si>
  <si>
    <t>Percentage</t>
  </si>
  <si>
    <t>Grade</t>
  </si>
  <si>
    <t>Total Classes Attended</t>
  </si>
  <si>
    <t>Total Classes Missed</t>
  </si>
  <si>
    <t>Present (%)</t>
  </si>
  <si>
    <t>Total Classes</t>
  </si>
  <si>
    <t>R001</t>
  </si>
  <si>
    <t>Ali</t>
  </si>
  <si>
    <t>R002</t>
  </si>
  <si>
    <t>Sara</t>
  </si>
  <si>
    <t>R003</t>
  </si>
  <si>
    <t>Bilal</t>
  </si>
  <si>
    <t>R004</t>
  </si>
  <si>
    <t>Hina</t>
  </si>
  <si>
    <t>R005</t>
  </si>
  <si>
    <t>Ahmed</t>
  </si>
  <si>
    <t>R006</t>
  </si>
  <si>
    <t>Zara</t>
  </si>
  <si>
    <t>R007</t>
  </si>
  <si>
    <t>Usman</t>
  </si>
  <si>
    <t>R008</t>
  </si>
  <si>
    <t>Fatima</t>
  </si>
  <si>
    <t>Overall Performance</t>
  </si>
  <si>
    <t>Highest %:</t>
  </si>
  <si>
    <t>Lowest %:</t>
  </si>
  <si>
    <t>Average %:</t>
  </si>
  <si>
    <t>Classes Attended</t>
  </si>
  <si>
    <t>Classes Missed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</si>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</sst>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28B22"/>
        <bgColor rgb="FF228B22"/>
      </patternFill>
    </fill>
    <fill>
      <patternFill patternType="solid">
        <fgColor rgb="FFADFF2F"/>
        <bgColor rgb="FFADFF2F"/>
      </patternFill>
    </fill>
    <fill>
      <patternFill patternType="solid">
        <fgColor rgb="FF90EE90"/>
        <bgColor rgb="FF90EE90"/>
      </patternFill>
    </fill>
    <fill>
      <patternFill patternType="solid">
        <fgColor rgb="FFFFFF99"/>
        <bgColor rgb="FFFFFF99"/>
      </patternFill>
    </fill>
    <fill>
      <patternFill patternType="solid">
        <fgColor rgb="FF228B22"/>
        <bgColor indexed="64"/>
      </patternFill>
    </fill>
    <fill>
      <patternFill patternType="solid">
        <fgColor rgb="FF27862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mruColors>
      <color rgb="FF2786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Student Attendance (%)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Data'!$O$1</c:f>
              <c:strCache>
                <c:ptCount val="1"/>
                <c:pt idx="0">
                  <c:v>Present 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'Student Data'!$L$2:$L$9</c:f>
              <c:strCache>
                <c:ptCount val="8"/>
                <c:pt idx="0">
                  <c:v>Ali</c:v>
                </c:pt>
                <c:pt idx="1">
                  <c:v>Sara</c:v>
                </c:pt>
                <c:pt idx="2">
                  <c:v>Bilal</c:v>
                </c:pt>
                <c:pt idx="3">
                  <c:v>Hina</c:v>
                </c:pt>
                <c:pt idx="4">
                  <c:v>Ahmed</c:v>
                </c:pt>
                <c:pt idx="5">
                  <c:v>Zara</c:v>
                </c:pt>
                <c:pt idx="6">
                  <c:v>Usman</c:v>
                </c:pt>
                <c:pt idx="7">
                  <c:v>Fatima</c:v>
                </c:pt>
              </c:strCache>
            </c:strRef>
          </c:cat>
          <c:val>
            <c:numRef>
              <c:f>'Student Data'!$O$2:$O$9</c:f>
              <c:numCache>
                <c:formatCode>General</c:formatCode>
                <c:ptCount val="8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0-4433-81E6-D739DFC76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Attendance Percentage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Student Performance Comparison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Data'!$H$1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'Student Data'!$B$2:$B$9</c:f>
              <c:strCache>
                <c:ptCount val="8"/>
                <c:pt idx="0">
                  <c:v>Ali</c:v>
                </c:pt>
                <c:pt idx="1">
                  <c:v>Sara</c:v>
                </c:pt>
                <c:pt idx="2">
                  <c:v>Bilal</c:v>
                </c:pt>
                <c:pt idx="3">
                  <c:v>Hina</c:v>
                </c:pt>
                <c:pt idx="4">
                  <c:v>Ahmed</c:v>
                </c:pt>
                <c:pt idx="5">
                  <c:v>Zara</c:v>
                </c:pt>
                <c:pt idx="6">
                  <c:v>Usman</c:v>
                </c:pt>
                <c:pt idx="7">
                  <c:v>Fatima</c:v>
                </c:pt>
              </c:strCache>
            </c:strRef>
          </c:cat>
          <c:val>
            <c:numRef>
              <c:f>'Student Data'!$H$2:$H$9</c:f>
              <c:numCache>
                <c:formatCode>General</c:formatCode>
                <c:ptCount val="8"/>
                <c:pt idx="0">
                  <c:v>92.75</c:v>
                </c:pt>
                <c:pt idx="1">
                  <c:v>74</c:v>
                </c:pt>
                <c:pt idx="2">
                  <c:v>86</c:v>
                </c:pt>
                <c:pt idx="3">
                  <c:v>67.25</c:v>
                </c:pt>
                <c:pt idx="4">
                  <c:v>81.75</c:v>
                </c:pt>
                <c:pt idx="5">
                  <c:v>80.5</c:v>
                </c:pt>
                <c:pt idx="6">
                  <c:v>63.249999999999993</c:v>
                </c:pt>
                <c:pt idx="7">
                  <c:v>90.75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3-4E06-9121-79D8016EE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Performance Percentage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56030</xdr:colOff>
      <xdr:row>9</xdr:row>
      <xdr:rowOff>57118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160812</xdr:colOff>
      <xdr:row>9</xdr:row>
      <xdr:rowOff>53776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zoomScale="77" zoomScaleNormal="85" workbookViewId="0">
      <selection activeCell="J25" sqref="J25"/>
    </sheetView>
  </sheetViews>
  <sheetFormatPr defaultRowHeight="15" x14ac:dyDescent="0.25"/>
  <cols>
    <col min="3" max="3" width="13" style="1" customWidth="1"/>
    <col min="4" max="4" width="14.5703125" style="1" customWidth="1"/>
    <col min="5" max="5" width="13.140625" style="1" customWidth="1"/>
    <col min="6" max="6" width="11.7109375" style="1" customWidth="1"/>
    <col min="7" max="7" width="10" style="1" customWidth="1"/>
    <col min="8" max="8" width="12.28515625" style="1" bestFit="1" customWidth="1"/>
    <col min="9" max="9" width="16.28515625" style="1" bestFit="1" customWidth="1"/>
    <col min="10" max="10" width="15.140625" style="1" bestFit="1" customWidth="1"/>
    <col min="11" max="11" width="12.28515625" style="1" customWidth="1"/>
    <col min="12" max="12" width="9.140625" style="1" customWidth="1"/>
    <col min="13" max="13" width="24.140625" style="1" bestFit="1" customWidth="1"/>
    <col min="14" max="14" width="21.85546875" style="1" bestFit="1" customWidth="1"/>
    <col min="15" max="15" width="12.28515625" style="1" bestFit="1" customWidth="1"/>
  </cols>
  <sheetData>
    <row r="1" spans="1:17" ht="15.7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2" t="s">
        <v>35</v>
      </c>
      <c r="K1" s="8" t="s">
        <v>0</v>
      </c>
      <c r="L1" s="8" t="s">
        <v>1</v>
      </c>
      <c r="M1" s="8" t="s">
        <v>9</v>
      </c>
      <c r="N1" s="8" t="s">
        <v>10</v>
      </c>
      <c r="O1" s="8" t="s">
        <v>11</v>
      </c>
      <c r="P1" s="16" t="s">
        <v>12</v>
      </c>
      <c r="Q1" s="17"/>
    </row>
    <row r="2" spans="1:17" ht="15.75" customHeight="1" x14ac:dyDescent="0.25">
      <c r="A2" s="2" t="s">
        <v>13</v>
      </c>
      <c r="B2" s="2" t="s">
        <v>14</v>
      </c>
      <c r="C2" s="2">
        <v>95</v>
      </c>
      <c r="D2" s="2">
        <v>95</v>
      </c>
      <c r="E2" s="2">
        <v>92</v>
      </c>
      <c r="F2" s="2">
        <v>89</v>
      </c>
      <c r="G2" s="2">
        <v>319</v>
      </c>
      <c r="H2" s="2">
        <f t="shared" ref="H2:H19" si="0">((C2+D2+E2+F2)/400)*100</f>
        <v>92.75</v>
      </c>
      <c r="I2" s="3" t="str">
        <f t="shared" ref="I2:I9" si="1">IF(H2&gt;=90,"A+",IF(H2&gt;=80,"A",IF(H2&gt;=70,"B",IF(H2&gt;=60,"C",IF(H2&gt;=50,"D","F")))))</f>
        <v>A+</v>
      </c>
      <c r="J2" s="13">
        <v>400</v>
      </c>
      <c r="K2" s="2" t="str">
        <f t="shared" ref="K2:L9" si="2">A2</f>
        <v>R001</v>
      </c>
      <c r="L2" s="2" t="str">
        <f t="shared" si="2"/>
        <v>Ali</v>
      </c>
      <c r="M2" s="2">
        <f>ROUND($P$2*0.8,0)</f>
        <v>40</v>
      </c>
      <c r="N2" s="2">
        <f>$P$2 - M2</f>
        <v>10</v>
      </c>
      <c r="O2" s="2">
        <f>IF($P$2&gt;0,ROUND(M2/$P$2*100,2),0)</f>
        <v>80</v>
      </c>
      <c r="P2" s="14">
        <v>50</v>
      </c>
      <c r="Q2" s="15"/>
    </row>
    <row r="3" spans="1:17" x14ac:dyDescent="0.25">
      <c r="A3" s="2" t="s">
        <v>15</v>
      </c>
      <c r="B3" s="2" t="s">
        <v>16</v>
      </c>
      <c r="C3" s="2">
        <v>72</v>
      </c>
      <c r="D3" s="2">
        <v>69</v>
      </c>
      <c r="E3" s="2">
        <v>74</v>
      </c>
      <c r="F3" s="2">
        <v>81</v>
      </c>
      <c r="G3" s="2">
        <v>296</v>
      </c>
      <c r="H3" s="2">
        <f t="shared" si="0"/>
        <v>74</v>
      </c>
      <c r="I3" s="3" t="str">
        <f t="shared" si="1"/>
        <v>B</v>
      </c>
      <c r="K3" s="2" t="str">
        <f t="shared" si="2"/>
        <v>R002</v>
      </c>
      <c r="L3" s="2" t="str">
        <f t="shared" si="2"/>
        <v>Sara</v>
      </c>
      <c r="M3" s="2">
        <f>ROUND($P$2*0.8,0)</f>
        <v>40</v>
      </c>
      <c r="N3" s="2">
        <f>$P$2 - M3</f>
        <v>10</v>
      </c>
      <c r="O3" s="2">
        <f>IF($P$2&gt;0,ROUND(M3/$P$2*100,2),0)</f>
        <v>80</v>
      </c>
    </row>
    <row r="4" spans="1:17" x14ac:dyDescent="0.25">
      <c r="A4" s="2" t="s">
        <v>17</v>
      </c>
      <c r="B4" s="2" t="s">
        <v>18</v>
      </c>
      <c r="C4" s="2">
        <v>90</v>
      </c>
      <c r="D4" s="2">
        <v>82</v>
      </c>
      <c r="E4" s="2">
        <v>87</v>
      </c>
      <c r="F4" s="2">
        <v>85</v>
      </c>
      <c r="G4" s="2">
        <v>344</v>
      </c>
      <c r="H4" s="2">
        <f t="shared" si="0"/>
        <v>86</v>
      </c>
      <c r="I4" s="4" t="str">
        <f t="shared" si="1"/>
        <v>A</v>
      </c>
      <c r="K4" s="2" t="str">
        <f t="shared" si="2"/>
        <v>R003</v>
      </c>
      <c r="L4" s="2" t="str">
        <f t="shared" si="2"/>
        <v>Bilal</v>
      </c>
      <c r="M4" s="2">
        <f>ROUND($P$2*0.8,0)</f>
        <v>40</v>
      </c>
      <c r="N4" s="2">
        <f>$P$2 - M4</f>
        <v>10</v>
      </c>
      <c r="O4" s="2">
        <f>IF($P$2&gt;0,ROUND(M4/$P$2*100,2),0)</f>
        <v>80</v>
      </c>
    </row>
    <row r="5" spans="1:17" x14ac:dyDescent="0.25">
      <c r="A5" s="2" t="s">
        <v>19</v>
      </c>
      <c r="B5" s="2" t="s">
        <v>20</v>
      </c>
      <c r="C5" s="2">
        <v>66</v>
      </c>
      <c r="D5" s="2">
        <v>71</v>
      </c>
      <c r="E5" s="2">
        <v>68</v>
      </c>
      <c r="F5" s="2">
        <v>64</v>
      </c>
      <c r="G5" s="2">
        <v>269</v>
      </c>
      <c r="H5" s="2">
        <f t="shared" si="0"/>
        <v>67.25</v>
      </c>
      <c r="I5" s="5" t="str">
        <f t="shared" si="1"/>
        <v>C</v>
      </c>
      <c r="K5" s="2" t="str">
        <f t="shared" si="2"/>
        <v>R004</v>
      </c>
      <c r="L5" s="2" t="str">
        <f t="shared" si="2"/>
        <v>Hina</v>
      </c>
      <c r="M5" s="2">
        <f>ROUND($P$2*0.8,0)</f>
        <v>40</v>
      </c>
      <c r="N5" s="2">
        <f>$P$2 - M5</f>
        <v>10</v>
      </c>
      <c r="O5" s="2">
        <f>IF($P$2&gt;0,ROUND(M5/$P$2*100,2),0)</f>
        <v>80</v>
      </c>
    </row>
    <row r="6" spans="1:17" x14ac:dyDescent="0.25">
      <c r="A6" s="2" t="s">
        <v>21</v>
      </c>
      <c r="B6" s="2" t="s">
        <v>22</v>
      </c>
      <c r="C6" s="2">
        <v>79</v>
      </c>
      <c r="D6" s="2">
        <v>85</v>
      </c>
      <c r="E6" s="2">
        <v>83</v>
      </c>
      <c r="F6" s="2">
        <v>80</v>
      </c>
      <c r="G6" s="2">
        <v>327</v>
      </c>
      <c r="H6" s="2">
        <f t="shared" si="0"/>
        <v>81.75</v>
      </c>
      <c r="I6" s="4" t="str">
        <f t="shared" si="1"/>
        <v>A</v>
      </c>
      <c r="K6" s="2" t="str">
        <f t="shared" si="2"/>
        <v>R005</v>
      </c>
      <c r="L6" s="2" t="str">
        <f t="shared" si="2"/>
        <v>Ahmed</v>
      </c>
      <c r="M6" s="2">
        <v>20</v>
      </c>
      <c r="N6" s="2">
        <f>$P$2 - M6</f>
        <v>30</v>
      </c>
      <c r="O6" s="2">
        <f>IF($P$2&gt;0,ROUND(M6/$P$2*100,2),0)</f>
        <v>40</v>
      </c>
    </row>
    <row r="7" spans="1:17" x14ac:dyDescent="0.25">
      <c r="A7" s="2" t="s">
        <v>23</v>
      </c>
      <c r="B7" s="2" t="s">
        <v>24</v>
      </c>
      <c r="C7" s="2">
        <v>88</v>
      </c>
      <c r="D7" s="2">
        <v>75</v>
      </c>
      <c r="E7" s="2">
        <v>77</v>
      </c>
      <c r="F7" s="2">
        <v>82</v>
      </c>
      <c r="G7" s="2">
        <v>322</v>
      </c>
      <c r="H7" s="2">
        <f t="shared" si="0"/>
        <v>80.5</v>
      </c>
      <c r="I7" s="4" t="str">
        <f t="shared" si="1"/>
        <v>A</v>
      </c>
      <c r="K7" s="2" t="str">
        <f t="shared" si="2"/>
        <v>R006</v>
      </c>
      <c r="L7" s="2" t="str">
        <f t="shared" si="2"/>
        <v>Zara</v>
      </c>
      <c r="M7" s="2">
        <v>30</v>
      </c>
      <c r="N7" s="2">
        <f>$P$2 - M7</f>
        <v>20</v>
      </c>
      <c r="O7" s="2">
        <f>IF($P$2&gt;0,ROUND(M7/$P$2*100,2),0)</f>
        <v>60</v>
      </c>
    </row>
    <row r="8" spans="1:17" x14ac:dyDescent="0.25">
      <c r="A8" s="2" t="s">
        <v>25</v>
      </c>
      <c r="B8" s="2" t="s">
        <v>26</v>
      </c>
      <c r="C8" s="2">
        <v>60</v>
      </c>
      <c r="D8" s="2">
        <v>58</v>
      </c>
      <c r="E8" s="2">
        <v>65</v>
      </c>
      <c r="F8" s="2">
        <v>70</v>
      </c>
      <c r="G8" s="2">
        <v>253</v>
      </c>
      <c r="H8" s="2">
        <f t="shared" si="0"/>
        <v>63.249999999999993</v>
      </c>
      <c r="I8" s="5" t="str">
        <f t="shared" si="1"/>
        <v>C</v>
      </c>
      <c r="K8" s="2" t="str">
        <f t="shared" si="2"/>
        <v>R007</v>
      </c>
      <c r="L8" s="2" t="str">
        <f t="shared" si="2"/>
        <v>Usman</v>
      </c>
      <c r="M8" s="2">
        <f>ROUND($P$2*0.8,0)</f>
        <v>40</v>
      </c>
      <c r="N8" s="2">
        <f>$P$2 - M8</f>
        <v>10</v>
      </c>
      <c r="O8" s="2">
        <f>IF($P$2&gt;0,ROUND(M8/$P$2*100,2),0)</f>
        <v>80</v>
      </c>
    </row>
    <row r="9" spans="1:17" x14ac:dyDescent="0.25">
      <c r="A9" s="2" t="s">
        <v>27</v>
      </c>
      <c r="B9" s="2" t="s">
        <v>28</v>
      </c>
      <c r="C9" s="2">
        <v>93</v>
      </c>
      <c r="D9" s="2">
        <v>90</v>
      </c>
      <c r="E9" s="2">
        <v>91</v>
      </c>
      <c r="F9" s="2">
        <v>89</v>
      </c>
      <c r="G9" s="2">
        <v>363</v>
      </c>
      <c r="H9" s="2">
        <f t="shared" si="0"/>
        <v>90.75</v>
      </c>
      <c r="I9" s="4" t="str">
        <f t="shared" si="1"/>
        <v>A+</v>
      </c>
      <c r="K9" s="2" t="str">
        <f t="shared" si="2"/>
        <v>R008</v>
      </c>
      <c r="L9" s="2" t="str">
        <f t="shared" si="2"/>
        <v>Fatima</v>
      </c>
      <c r="M9" s="2">
        <f>ROUND($P$2*0.8,0)</f>
        <v>40</v>
      </c>
      <c r="N9" s="2">
        <f>$P$2 - M9</f>
        <v>10</v>
      </c>
      <c r="O9" s="2">
        <f>IF($P$2&gt;0,ROUND(M9/$P$2*100,2),0)</f>
        <v>80</v>
      </c>
    </row>
    <row r="10" spans="1:17" x14ac:dyDescent="0.25">
      <c r="H10">
        <f t="shared" si="0"/>
        <v>0</v>
      </c>
    </row>
    <row r="11" spans="1:17" ht="18.75" customHeight="1" x14ac:dyDescent="0.25">
      <c r="H11"/>
      <c r="I11" s="11" t="s">
        <v>29</v>
      </c>
      <c r="J11" s="10"/>
    </row>
    <row r="12" spans="1:17" x14ac:dyDescent="0.25">
      <c r="H12">
        <f t="shared" si="0"/>
        <v>0</v>
      </c>
      <c r="I12" s="7" t="s">
        <v>30</v>
      </c>
      <c r="J12" s="2">
        <f>MAX(H2:H9)</f>
        <v>92.75</v>
      </c>
    </row>
    <row r="13" spans="1:17" x14ac:dyDescent="0.25">
      <c r="H13"/>
      <c r="I13" s="7" t="s">
        <v>31</v>
      </c>
      <c r="J13" s="2">
        <f>MIN(H2:H9)</f>
        <v>63.249999999999993</v>
      </c>
    </row>
    <row r="14" spans="1:17" x14ac:dyDescent="0.25">
      <c r="H14"/>
      <c r="I14" s="7" t="s">
        <v>32</v>
      </c>
      <c r="J14" s="2">
        <f>AVERAGE(H2:H9)</f>
        <v>79.53125</v>
      </c>
    </row>
    <row r="15" spans="1:17" x14ac:dyDescent="0.25">
      <c r="H15"/>
    </row>
    <row r="16" spans="1:17" x14ac:dyDescent="0.25">
      <c r="H16"/>
    </row>
    <row r="17" spans="8:13" x14ac:dyDescent="0.25">
      <c r="H17"/>
    </row>
    <row r="18" spans="8:13" x14ac:dyDescent="0.25">
      <c r="H18"/>
    </row>
    <row r="19" spans="8:13" x14ac:dyDescent="0.25">
      <c r="H19"/>
    </row>
    <row r="22" spans="8:13" x14ac:dyDescent="0.25">
      <c r="M22" s="6"/>
    </row>
  </sheetData>
  <mergeCells count="3">
    <mergeCell ref="I11:J11"/>
    <mergeCell ref="P2:Q2"/>
    <mergeCell ref="P1:Q1"/>
  </mergeCells>
  <conditionalFormatting sqref="O2:O9">
    <cfRule type="cellIs" dxfId="0" priority="1" stopIfTrue="1" operator="lessThan">
      <formula>75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cols>
    <col min="1" max="1" width="12" style="1" customWidth="1"/>
    <col min="2" max="2" width="18" style="1" customWidth="1"/>
    <col min="3" max="4" width="16" style="1" customWidth="1"/>
    <col min="5" max="5" width="14" style="1" customWidth="1"/>
    <col min="6" max="6" width="12" style="1" customWidth="1"/>
  </cols>
  <sheetData>
    <row r="1" spans="1:6" x14ac:dyDescent="0.25">
      <c r="B1" t="s">
        <v>12</v>
      </c>
      <c r="C1">
        <v>50</v>
      </c>
    </row>
    <row r="3" spans="1:6" x14ac:dyDescent="0.25">
      <c r="A3" t="s">
        <v>0</v>
      </c>
      <c r="B3" t="s">
        <v>1</v>
      </c>
      <c r="C3" t="s">
        <v>33</v>
      </c>
      <c r="D3" t="s">
        <v>34</v>
      </c>
      <c r="E3" t="s">
        <v>12</v>
      </c>
      <c r="F3" t="s">
        <v>11</v>
      </c>
    </row>
    <row r="4" spans="1:6" x14ac:dyDescent="0.25">
      <c r="A4" t="str">
        <f>'Student Data'!A2</f>
        <v>R001</v>
      </c>
      <c r="B4" t="str">
        <f>'Student Data'!B2</f>
        <v>Ali</v>
      </c>
      <c r="C4" t="e">
        <f>ROUND($C$1 * ('Student Data'!K2/100),0)</f>
        <v>#VALUE!</v>
      </c>
      <c r="D4" t="e">
        <f t="shared" ref="D4:D11" si="0">$C$1 - C4</f>
        <v>#VALUE!</v>
      </c>
      <c r="E4">
        <f t="shared" ref="E4:E11" si="1">$C$1</f>
        <v>50</v>
      </c>
      <c r="F4" t="e">
        <f t="shared" ref="F4:F11" si="2">IF($C$1&gt;0,ROUND(C4/$C$1*100,2),0)</f>
        <v>#VALUE!</v>
      </c>
    </row>
    <row r="5" spans="1:6" x14ac:dyDescent="0.25">
      <c r="A5" t="str">
        <f>'Student Data'!A3</f>
        <v>R002</v>
      </c>
      <c r="B5" t="str">
        <f>'Student Data'!B3</f>
        <v>Sara</v>
      </c>
      <c r="C5" t="e">
        <f>ROUND($C$1 * ('Student Data'!K3/100),0)</f>
        <v>#VALUE!</v>
      </c>
      <c r="D5" t="e">
        <f t="shared" si="0"/>
        <v>#VALUE!</v>
      </c>
      <c r="E5">
        <f t="shared" si="1"/>
        <v>50</v>
      </c>
      <c r="F5" t="e">
        <f t="shared" si="2"/>
        <v>#VALUE!</v>
      </c>
    </row>
    <row r="6" spans="1:6" x14ac:dyDescent="0.25">
      <c r="A6" t="str">
        <f>'Student Data'!A4</f>
        <v>R003</v>
      </c>
      <c r="B6" t="str">
        <f>'Student Data'!B4</f>
        <v>Bilal</v>
      </c>
      <c r="C6" t="e">
        <f>ROUND($C$1 * ('Student Data'!K4/100),0)</f>
        <v>#VALUE!</v>
      </c>
      <c r="D6" t="e">
        <f t="shared" si="0"/>
        <v>#VALUE!</v>
      </c>
      <c r="E6">
        <f t="shared" si="1"/>
        <v>50</v>
      </c>
      <c r="F6" t="e">
        <f t="shared" si="2"/>
        <v>#VALUE!</v>
      </c>
    </row>
    <row r="7" spans="1:6" x14ac:dyDescent="0.25">
      <c r="A7" t="str">
        <f>'Student Data'!A5</f>
        <v>R004</v>
      </c>
      <c r="B7" t="str">
        <f>'Student Data'!B5</f>
        <v>Hina</v>
      </c>
      <c r="C7" t="e">
        <f>ROUND($C$1 * ('Student Data'!K5/100),0)</f>
        <v>#VALUE!</v>
      </c>
      <c r="D7" t="e">
        <f t="shared" si="0"/>
        <v>#VALUE!</v>
      </c>
      <c r="E7">
        <f t="shared" si="1"/>
        <v>50</v>
      </c>
      <c r="F7" t="e">
        <f t="shared" si="2"/>
        <v>#VALUE!</v>
      </c>
    </row>
    <row r="8" spans="1:6" x14ac:dyDescent="0.25">
      <c r="A8" t="str">
        <f>'Student Data'!A6</f>
        <v>R005</v>
      </c>
      <c r="B8" t="str">
        <f>'Student Data'!B6</f>
        <v>Ahmed</v>
      </c>
      <c r="C8" t="e">
        <f>ROUND($C$1 * ('Student Data'!K6/100),0)</f>
        <v>#VALUE!</v>
      </c>
      <c r="D8" t="e">
        <f t="shared" si="0"/>
        <v>#VALUE!</v>
      </c>
      <c r="E8">
        <f t="shared" si="1"/>
        <v>50</v>
      </c>
      <c r="F8" t="e">
        <f t="shared" si="2"/>
        <v>#VALUE!</v>
      </c>
    </row>
    <row r="9" spans="1:6" x14ac:dyDescent="0.25">
      <c r="A9" t="str">
        <f>'Student Data'!A7</f>
        <v>R006</v>
      </c>
      <c r="B9" t="str">
        <f>'Student Data'!B7</f>
        <v>Zara</v>
      </c>
      <c r="C9" t="e">
        <f>ROUND($C$1 * ('Student Data'!K7/100),0)</f>
        <v>#VALUE!</v>
      </c>
      <c r="D9" t="e">
        <f t="shared" si="0"/>
        <v>#VALUE!</v>
      </c>
      <c r="E9">
        <f t="shared" si="1"/>
        <v>50</v>
      </c>
      <c r="F9" t="e">
        <f t="shared" si="2"/>
        <v>#VALUE!</v>
      </c>
    </row>
    <row r="10" spans="1:6" x14ac:dyDescent="0.25">
      <c r="A10" t="str">
        <f>'Student Data'!A8</f>
        <v>R007</v>
      </c>
      <c r="B10" t="str">
        <f>'Student Data'!B8</f>
        <v>Usman</v>
      </c>
      <c r="C10" t="e">
        <f>ROUND($C$1 * ('Student Data'!K8/100),0)</f>
        <v>#VALUE!</v>
      </c>
      <c r="D10" t="e">
        <f t="shared" si="0"/>
        <v>#VALUE!</v>
      </c>
      <c r="E10">
        <f t="shared" si="1"/>
        <v>50</v>
      </c>
      <c r="F10" t="e">
        <f t="shared" si="2"/>
        <v>#VALUE!</v>
      </c>
    </row>
    <row r="11" spans="1:6" x14ac:dyDescent="0.25">
      <c r="A11" t="str">
        <f>'Student Data'!A9</f>
        <v>R008</v>
      </c>
      <c r="B11" t="str">
        <f>'Student Data'!B9</f>
        <v>Fatima</v>
      </c>
      <c r="C11" t="e">
        <f>ROUND($C$1 * ('Student Data'!K9/100),0)</f>
        <v>#VALUE!</v>
      </c>
      <c r="D11" t="e">
        <f t="shared" si="0"/>
        <v>#VALUE!</v>
      </c>
      <c r="E11">
        <f t="shared" si="1"/>
        <v>50</v>
      </c>
      <c r="F11" t="e">
        <f t="shared" si="2"/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Attendance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Dilbar Tariq</cp:lastModifiedBy>
  <dcterms:created xsi:type="dcterms:W3CDTF">2025-10-30T22:46:36Z</dcterms:created>
  <dcterms:modified xsi:type="dcterms:W3CDTF">2025-11-03T17:36:58Z</dcterms:modified>
</cp:coreProperties>
</file>